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2.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Downloads\"/>
    </mc:Choice>
  </mc:AlternateContent>
  <xr:revisionPtr revIDLastSave="0" documentId="13_ncr:1_{0AF4164E-FFDA-4B0A-86A5-98D86917210B}" xr6:coauthVersionLast="47" xr6:coauthVersionMax="47" xr10:uidLastSave="{00000000-0000-0000-0000-000000000000}"/>
  <bookViews>
    <workbookView xWindow="-108" yWindow="-108" windowWidth="23256" windowHeight="12456" activeTab="2" xr2:uid="{9C86E110-6D00-45F0-A80C-4AA54A3C5167}"/>
  </bookViews>
  <sheets>
    <sheet name="Sheet1" sheetId="1" r:id="rId1"/>
    <sheet name="Sheet2" sheetId="4" r:id="rId2"/>
    <sheet name="Table1 (2)" sheetId="5" r:id="rId3"/>
  </sheets>
  <definedNames>
    <definedName name="ExternalData_1" localSheetId="2" hidden="1">'Table1 (2)'!$A$1:$I$14</definedName>
    <definedName name="Slicer_Account_Cod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3ED6839-B18F-4BCC-A163-9F738DE86678}"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2" xr16:uid="{90265CF2-F708-4EDC-9DDC-8F6D45CFCF15}"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s>
</file>

<file path=xl/sharedStrings.xml><?xml version="1.0" encoding="utf-8"?>
<sst xmlns="http://schemas.openxmlformats.org/spreadsheetml/2006/main" count="272" uniqueCount="74">
  <si>
    <t>Document Date</t>
  </si>
  <si>
    <t>Supplier</t>
  </si>
  <si>
    <t>Reference</t>
  </si>
  <si>
    <t>Description</t>
  </si>
  <si>
    <t>Tax Inclusive Amount</t>
  </si>
  <si>
    <t>Account Code</t>
  </si>
  <si>
    <t>Payment Date</t>
  </si>
  <si>
    <t>XY Solutions</t>
  </si>
  <si>
    <t>S77782</t>
  </si>
  <si>
    <t>Opening Balance</t>
  </si>
  <si>
    <t>A</t>
  </si>
  <si>
    <t>B1</t>
  </si>
  <si>
    <t>BS-500</t>
  </si>
  <si>
    <t>IS Communications</t>
  </si>
  <si>
    <t>Invoice EXP22</t>
  </si>
  <si>
    <t>Internet Service Provider</t>
  </si>
  <si>
    <t>IS-380</t>
  </si>
  <si>
    <t>Newscorp</t>
  </si>
  <si>
    <t>IN381119</t>
  </si>
  <si>
    <t>Subscriptions</t>
  </si>
  <si>
    <t>IS-375</t>
  </si>
  <si>
    <t>EAG Brokers</t>
  </si>
  <si>
    <t>Debit Order</t>
  </si>
  <si>
    <t>Insurance</t>
  </si>
  <si>
    <t>IS-340</t>
  </si>
  <si>
    <t>Capital Bank</t>
  </si>
  <si>
    <t>Bank Statement</t>
  </si>
  <si>
    <t>Service Fees</t>
  </si>
  <si>
    <t>IS-315</t>
  </si>
  <si>
    <t>B2</t>
  </si>
  <si>
    <t>IAS Accountants</t>
  </si>
  <si>
    <t>Invoice</t>
  </si>
  <si>
    <t>Bookkeeping</t>
  </si>
  <si>
    <t>IS-305</t>
  </si>
  <si>
    <t>Interflora</t>
  </si>
  <si>
    <t>Cash</t>
  </si>
  <si>
    <t>Flowers</t>
  </si>
  <si>
    <t>PC</t>
  </si>
  <si>
    <t>IS-345</t>
  </si>
  <si>
    <t>QQ International</t>
  </si>
  <si>
    <t>TR6998</t>
  </si>
  <si>
    <t>Parking</t>
  </si>
  <si>
    <t>IS-390</t>
  </si>
  <si>
    <t>Example (Pty) Ltd</t>
  </si>
  <si>
    <t>Transfer</t>
  </si>
  <si>
    <t>Inter Account Transfer</t>
  </si>
  <si>
    <t>E</t>
  </si>
  <si>
    <t>BS-399</t>
  </si>
  <si>
    <t>Payroll</t>
  </si>
  <si>
    <t>Salaries</t>
  </si>
  <si>
    <t>IS-365</t>
  </si>
  <si>
    <t>HP Finance</t>
  </si>
  <si>
    <t>Capital repayment</t>
  </si>
  <si>
    <t>BS-700</t>
  </si>
  <si>
    <t>Interest paid</t>
  </si>
  <si>
    <t>IS-500</t>
  </si>
  <si>
    <t>PR Properties</t>
  </si>
  <si>
    <t>Rent</t>
  </si>
  <si>
    <t>IS-350</t>
  </si>
  <si>
    <t>Petty Cash Reimbursement</t>
  </si>
  <si>
    <t>Invoice EXP23</t>
  </si>
  <si>
    <t>Inland Revenue</t>
  </si>
  <si>
    <t>Return</t>
  </si>
  <si>
    <t>Sales Tax</t>
  </si>
  <si>
    <t>BS-600</t>
  </si>
  <si>
    <t>Furniture City</t>
  </si>
  <si>
    <t>Furniture</t>
  </si>
  <si>
    <t>BS-100</t>
  </si>
  <si>
    <t>Tax Code</t>
  </si>
  <si>
    <t>Row Labels</t>
  </si>
  <si>
    <t>Grand Total</t>
  </si>
  <si>
    <t>Sum of Tax Inclusive Amount</t>
  </si>
  <si>
    <t>Bank Code</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</si>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</sst>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22" fontId="0" fillId="0" borderId="0" xfId="0" applyNumberFormat="1"/>
  </cellXfs>
  <cellStyles count="1">
    <cellStyle name="Normal" xfId="0" builtinId="0"/>
  </cellStyles>
  <dxfs count="10">
    <dxf>
      <numFmt numFmtId="19" formatCode="m/d/yyyy"/>
    </dxf>
    <dxf>
      <numFmt numFmtId="19" formatCode="m/d/yyyy"/>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4</xdr:col>
      <xdr:colOff>495300</xdr:colOff>
      <xdr:row>7</xdr:row>
      <xdr:rowOff>7620</xdr:rowOff>
    </xdr:from>
    <xdr:to>
      <xdr:col>7</xdr:col>
      <xdr:colOff>495300</xdr:colOff>
      <xdr:row>20</xdr:row>
      <xdr:rowOff>97155</xdr:rowOff>
    </xdr:to>
    <mc:AlternateContent xmlns:mc="http://schemas.openxmlformats.org/markup-compatibility/2006" xmlns:a14="http://schemas.microsoft.com/office/drawing/2010/main">
      <mc:Choice Requires="a14">
        <xdr:graphicFrame macro="">
          <xdr:nvGraphicFramePr>
            <xdr:cNvPr id="2" name="Account Code">
              <a:extLst>
                <a:ext uri="{FF2B5EF4-FFF2-40B4-BE49-F238E27FC236}">
                  <a16:creationId xmlns:a16="http://schemas.microsoft.com/office/drawing/2014/main" id="{45027FFB-E319-3FA7-179B-A17748AA397D}"/>
                </a:ext>
              </a:extLst>
            </xdr:cNvPr>
            <xdr:cNvGraphicFramePr/>
          </xdr:nvGraphicFramePr>
          <xdr:xfrm>
            <a:off x="0" y="0"/>
            <a:ext cx="0" cy="0"/>
          </xdr:xfrm>
          <a:graphic>
            <a:graphicData uri="http://schemas.microsoft.com/office/drawing/2010/slicer">
              <sle:slicer xmlns:sle="http://schemas.microsoft.com/office/drawing/2010/slicer" name="Account Code"/>
            </a:graphicData>
          </a:graphic>
        </xdr:graphicFrame>
      </mc:Choice>
      <mc:Fallback xmlns="">
        <xdr:sp macro="" textlink="">
          <xdr:nvSpPr>
            <xdr:cNvPr id="0" name=""/>
            <xdr:cNvSpPr>
              <a:spLocks noTextEdit="1"/>
            </xdr:cNvSpPr>
          </xdr:nvSpPr>
          <xdr:spPr>
            <a:xfrm>
              <a:off x="4503420" y="1287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endrasinh Vaghela" refreshedDate="46091.66471967593" createdVersion="8" refreshedVersion="8" minRefreshableVersion="3" recordCount="28" xr:uid="{9006EC27-1C8F-4EBB-A560-BDA4B864B143}">
  <cacheSource type="worksheet">
    <worksheetSource name="Table1"/>
  </cacheSource>
  <cacheFields count="9">
    <cacheField name="Document Date" numFmtId="14">
      <sharedItems containsSemiMixedTypes="0" containsNonDate="0" containsDate="1" containsString="0" minDate="2011-02-14T00:00:00" maxDate="2011-04-27T00:00:00"/>
    </cacheField>
    <cacheField name="Supplier" numFmtId="0">
      <sharedItems count="13">
        <s v="XY Solutions"/>
        <s v="IS Communications"/>
        <s v="Newscorp"/>
        <s v="EAG Brokers"/>
        <s v="Capital Bank"/>
        <s v="IAS Accountants"/>
        <s v="Interflora"/>
        <s v="QQ International"/>
        <s v="Example (Pty) Ltd"/>
        <s v="HP Finance"/>
        <s v="PR Properties"/>
        <s v="Inland Revenue"/>
        <s v="Furniture City"/>
      </sharedItems>
    </cacheField>
    <cacheField name="Reference" numFmtId="0">
      <sharedItems/>
    </cacheField>
    <cacheField name="Description" numFmtId="0">
      <sharedItems/>
    </cacheField>
    <cacheField name="Tax Inclusive Amount" numFmtId="0">
      <sharedItems containsSemiMixedTypes="0" containsString="0" containsNumber="1" containsInteger="1" minValue="-20000" maxValue="20000"/>
    </cacheField>
    <cacheField name="Tax Code" numFmtId="0">
      <sharedItems/>
    </cacheField>
    <cacheField name="Bank Code" numFmtId="0">
      <sharedItems/>
    </cacheField>
    <cacheField name="Account Code" numFmtId="0">
      <sharedItems count="15">
        <s v="BS-500"/>
        <s v="IS-380"/>
        <s v="IS-375"/>
        <s v="IS-340"/>
        <s v="IS-315"/>
        <s v="IS-305"/>
        <s v="IS-345"/>
        <s v="IS-390"/>
        <s v="BS-399"/>
        <s v="IS-365"/>
        <s v="BS-700"/>
        <s v="IS-500"/>
        <s v="IS-350"/>
        <s v="BS-600"/>
        <s v="BS-100"/>
      </sharedItems>
    </cacheField>
    <cacheField name="Payment Date" numFmtId="14">
      <sharedItems containsSemiMixedTypes="0" containsNonDate="0" containsDate="1" containsString="0" minDate="2011-03-02T00:00:00" maxDate="2011-05-27T00:00:00"/>
    </cacheField>
  </cacheFields>
  <extLst>
    <ext xmlns:x14="http://schemas.microsoft.com/office/spreadsheetml/2009/9/main" uri="{725AE2AE-9491-48be-B2B4-4EB974FC3084}">
      <x14:pivotCacheDefinition pivotCacheId="16537621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
  <r>
    <d v="2011-02-14T00:00:00"/>
    <x v="0"/>
    <s v="S77782"/>
    <s v="Opening Balance"/>
    <n v="5100"/>
    <s v="A"/>
    <s v="B1"/>
    <x v="0"/>
    <d v="2011-03-02T00:00:00"/>
  </r>
  <r>
    <d v="2011-03-01T00:00:00"/>
    <x v="1"/>
    <s v="Invoice EXP22"/>
    <s v="Internet Service Provider"/>
    <n v="179"/>
    <s v="A"/>
    <s v="B1"/>
    <x v="1"/>
    <d v="2011-03-31T00:00:00"/>
  </r>
  <r>
    <d v="2011-03-02T00:00:00"/>
    <x v="2"/>
    <s v="IN381119"/>
    <s v="Subscriptions"/>
    <n v="478"/>
    <s v="A"/>
    <s v="B1"/>
    <x v="2"/>
    <d v="2011-04-01T00:00:00"/>
  </r>
  <r>
    <d v="2011-03-02T00:00:00"/>
    <x v="3"/>
    <s v="Debit Order"/>
    <s v="Insurance"/>
    <n v="340"/>
    <s v="A"/>
    <s v="B1"/>
    <x v="3"/>
    <d v="2011-03-05T00:00:00"/>
  </r>
  <r>
    <d v="2011-03-15T00:00:00"/>
    <x v="4"/>
    <s v="Bank Statement"/>
    <s v="Service Fees"/>
    <n v="50"/>
    <s v="A"/>
    <s v="B1"/>
    <x v="4"/>
    <d v="2011-03-15T00:00:00"/>
  </r>
  <r>
    <d v="2011-03-15T00:00:00"/>
    <x v="4"/>
    <s v="Bank Statement"/>
    <s v="Service Fees"/>
    <n v="35"/>
    <s v="A"/>
    <s v="B2"/>
    <x v="4"/>
    <d v="2011-03-15T00:00:00"/>
  </r>
  <r>
    <d v="2011-03-15T00:00:00"/>
    <x v="5"/>
    <s v="Invoice"/>
    <s v="Bookkeeping"/>
    <n v="1000"/>
    <s v="A"/>
    <s v="B1"/>
    <x v="5"/>
    <d v="2011-04-02T00:00:00"/>
  </r>
  <r>
    <d v="2011-03-15T00:00:00"/>
    <x v="6"/>
    <s v="Cash"/>
    <s v="Flowers"/>
    <n v="90"/>
    <s v="A"/>
    <s v="PC"/>
    <x v="6"/>
    <d v="2011-03-15T00:00:00"/>
  </r>
  <r>
    <d v="2011-03-18T00:00:00"/>
    <x v="7"/>
    <s v="TR6998"/>
    <s v="Parking"/>
    <n v="200"/>
    <s v="A"/>
    <s v="B1"/>
    <x v="7"/>
    <d v="2011-03-18T00:00:00"/>
  </r>
  <r>
    <d v="2011-03-20T00:00:00"/>
    <x v="8"/>
    <s v="Transfer"/>
    <s v="Inter Account Transfer"/>
    <n v="-15000"/>
    <s v="E"/>
    <s v="B2"/>
    <x v="8"/>
    <d v="2011-03-20T00:00:00"/>
  </r>
  <r>
    <d v="2011-03-20T00:00:00"/>
    <x v="8"/>
    <s v="Transfer"/>
    <s v="Inter Account Transfer"/>
    <n v="15000"/>
    <s v="E"/>
    <s v="B1"/>
    <x v="8"/>
    <d v="2011-03-20T00:00:00"/>
  </r>
  <r>
    <d v="2011-03-26T00:00:00"/>
    <x v="8"/>
    <s v="Payroll"/>
    <s v="Salaries"/>
    <n v="13000"/>
    <s v="E"/>
    <s v="B2"/>
    <x v="9"/>
    <d v="2011-03-26T00:00:00"/>
  </r>
  <r>
    <d v="2011-03-26T00:00:00"/>
    <x v="9"/>
    <s v="Debit Order"/>
    <s v="Capital repayment"/>
    <n v="220"/>
    <s v="E"/>
    <s v="B1"/>
    <x v="10"/>
    <d v="2011-03-26T00:00:00"/>
  </r>
  <r>
    <d v="2011-03-26T00:00:00"/>
    <x v="9"/>
    <s v="Debit Order"/>
    <s v="Interest paid"/>
    <n v="100"/>
    <s v="E"/>
    <s v="B1"/>
    <x v="11"/>
    <d v="2011-03-26T00:00:00"/>
  </r>
  <r>
    <d v="2011-03-26T00:00:00"/>
    <x v="10"/>
    <s v="Debit Order"/>
    <s v="Rent"/>
    <n v="6400"/>
    <s v="A"/>
    <s v="B1"/>
    <x v="12"/>
    <d v="2011-03-26T00:00:00"/>
  </r>
  <r>
    <d v="2011-03-31T00:00:00"/>
    <x v="8"/>
    <s v="Bank Statement"/>
    <s v="Petty Cash Reimbursement"/>
    <n v="100"/>
    <s v="E"/>
    <s v="B1"/>
    <x v="8"/>
    <d v="2011-03-31T00:00:00"/>
  </r>
  <r>
    <d v="2011-03-31T00:00:00"/>
    <x v="8"/>
    <s v="Bank Statement"/>
    <s v="Petty Cash Reimbursement"/>
    <n v="-100"/>
    <s v="E"/>
    <s v="PC"/>
    <x v="8"/>
    <d v="2011-03-31T00:00:00"/>
  </r>
  <r>
    <d v="2011-04-01T00:00:00"/>
    <x v="1"/>
    <s v="Invoice EXP23"/>
    <s v="Internet Service Provider"/>
    <n v="179"/>
    <s v="A"/>
    <s v="B1"/>
    <x v="1"/>
    <d v="2011-05-01T00:00:00"/>
  </r>
  <r>
    <d v="2011-04-05T00:00:00"/>
    <x v="3"/>
    <s v="Debit Order"/>
    <s v="Insurance"/>
    <n v="340"/>
    <s v="A"/>
    <s v="B1"/>
    <x v="3"/>
    <d v="2011-04-05T00:00:00"/>
  </r>
  <r>
    <d v="2011-04-12T00:00:00"/>
    <x v="6"/>
    <s v="Cash"/>
    <s v="Flowers"/>
    <n v="87"/>
    <s v="A"/>
    <s v="PC"/>
    <x v="6"/>
    <d v="2011-04-12T00:00:00"/>
  </r>
  <r>
    <d v="2011-04-15T00:00:00"/>
    <x v="4"/>
    <s v="Bank Statement"/>
    <s v="Service Fees"/>
    <n v="80"/>
    <s v="A"/>
    <s v="B1"/>
    <x v="4"/>
    <d v="2011-04-15T00:00:00"/>
  </r>
  <r>
    <d v="2011-04-15T00:00:00"/>
    <x v="4"/>
    <s v="Bank Statement"/>
    <s v="Service Fees"/>
    <n v="35"/>
    <s v="A"/>
    <s v="B2"/>
    <x v="4"/>
    <d v="2011-04-15T00:00:00"/>
  </r>
  <r>
    <d v="2011-04-15T00:00:00"/>
    <x v="5"/>
    <s v="Invoice"/>
    <s v="Bookkeeping"/>
    <n v="1000"/>
    <s v="A"/>
    <s v="B1"/>
    <x v="5"/>
    <d v="2011-05-03T00:00:00"/>
  </r>
  <r>
    <d v="2011-04-20T00:00:00"/>
    <x v="8"/>
    <s v="Transfer"/>
    <s v="Inter Account Transfer"/>
    <n v="-20000"/>
    <s v="E"/>
    <s v="B2"/>
    <x v="8"/>
    <d v="2011-04-20T00:00:00"/>
  </r>
  <r>
    <d v="2011-04-20T00:00:00"/>
    <x v="8"/>
    <s v="Transfer"/>
    <s v="Inter Account Transfer"/>
    <n v="20000"/>
    <s v="E"/>
    <s v="B1"/>
    <x v="8"/>
    <d v="2011-04-20T00:00:00"/>
  </r>
  <r>
    <d v="2011-04-25T00:00:00"/>
    <x v="11"/>
    <s v="Return"/>
    <s v="Sales Tax"/>
    <n v="1300"/>
    <s v="A"/>
    <s v="B1"/>
    <x v="13"/>
    <d v="2011-04-20T00:00:00"/>
  </r>
  <r>
    <d v="2011-04-26T00:00:00"/>
    <x v="8"/>
    <s v="Payroll"/>
    <s v="Salaries"/>
    <n v="20000"/>
    <s v="E"/>
    <s v="B2"/>
    <x v="9"/>
    <d v="2011-04-26T00:00:00"/>
  </r>
  <r>
    <d v="2011-04-26T00:00:00"/>
    <x v="12"/>
    <s v="Invoice"/>
    <s v="Furniture"/>
    <n v="3000"/>
    <s v="A"/>
    <s v="B1"/>
    <x v="14"/>
    <d v="2011-05-26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948AD3-D7A9-4885-87D5-0F5FA42189E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C15" firstHeaderRow="1" firstDataRow="1" firstDataCol="1" rowPageCount="1" colPageCount="1"/>
  <pivotFields count="9">
    <pivotField numFmtId="14" showAll="0"/>
    <pivotField axis="axisRow" showAll="0">
      <items count="14">
        <item x="4"/>
        <item x="3"/>
        <item x="8"/>
        <item x="12"/>
        <item x="9"/>
        <item x="5"/>
        <item x="11"/>
        <item x="6"/>
        <item x="1"/>
        <item x="2"/>
        <item x="10"/>
        <item x="7"/>
        <item x="0"/>
        <item t="default"/>
      </items>
    </pivotField>
    <pivotField showAll="0"/>
    <pivotField showAll="0"/>
    <pivotField dataField="1" showAll="0"/>
    <pivotField showAll="0"/>
    <pivotField showAll="0"/>
    <pivotField axis="axisPage" multipleItemSelectionAllowed="1" showAll="0">
      <items count="16">
        <item h="1" x="14"/>
        <item h="1" x="8"/>
        <item h="1" x="0"/>
        <item h="1" x="13"/>
        <item h="1" x="10"/>
        <item h="1" x="5"/>
        <item h="1" x="4"/>
        <item h="1" x="3"/>
        <item x="6"/>
        <item h="1" x="12"/>
        <item x="9"/>
        <item h="1" x="2"/>
        <item x="1"/>
        <item h="1" x="7"/>
        <item h="1" x="11"/>
        <item t="default"/>
      </items>
    </pivotField>
    <pivotField numFmtId="14" showAll="0"/>
  </pivotFields>
  <rowFields count="1">
    <field x="1"/>
  </rowFields>
  <rowItems count="4">
    <i>
      <x v="2"/>
    </i>
    <i>
      <x v="7"/>
    </i>
    <i>
      <x v="8"/>
    </i>
    <i t="grand">
      <x/>
    </i>
  </rowItems>
  <colItems count="1">
    <i/>
  </colItems>
  <pageFields count="1">
    <pageField fld="7" hier="-1"/>
  </pageFields>
  <dataFields count="1">
    <dataField name="Sum of Tax Inclusive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EC1B80CA-A978-49C4-A779-5DCA450FDC5A}" autoFormatId="16" applyNumberFormats="0" applyBorderFormats="0" applyFontFormats="0" applyPatternFormats="0" applyAlignmentFormats="0" applyWidthHeightFormats="0">
  <queryTableRefresh nextId="10">
    <queryTableFields count="9">
      <queryTableField id="1" name="Document Date" tableColumnId="1"/>
      <queryTableField id="2" name="Supplier" tableColumnId="2"/>
      <queryTableField id="3" name="Reference" tableColumnId="3"/>
      <queryTableField id="4" name="Description" tableColumnId="4"/>
      <queryTableField id="5" name="Tax Inclusive Amount" tableColumnId="5"/>
      <queryTableField id="6" name="Tax Code" tableColumnId="6"/>
      <queryTableField id="7" name="Bank Code" tableColumnId="7"/>
      <queryTableField id="8" name="Account Code" tableColumnId="8"/>
      <queryTableField id="9" name="Payment Date"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Code" xr10:uid="{3E826507-52AD-4577-92E2-BA5E731D55AB}" sourceName="Account Code">
  <pivotTables>
    <pivotTable tabId="4" name="PivotTable2"/>
  </pivotTables>
  <data>
    <tabular pivotCacheId="1653762110">
      <items count="15">
        <i x="14"/>
        <i x="8"/>
        <i x="0"/>
        <i x="13"/>
        <i x="10"/>
        <i x="5"/>
        <i x="4"/>
        <i x="3"/>
        <i x="6" s="1"/>
        <i x="12"/>
        <i x="9" s="1"/>
        <i x="2"/>
        <i x="1" s="1"/>
        <i x="7"/>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Code" xr10:uid="{3739A0E2-BC44-4AE2-8B55-63894533B782}" cache="Slicer_Account_Code" caption="Account Code" startItem="6"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ED5154-7CE2-4884-BC09-162922868756}" name="Table1" displayName="Table1" ref="A1:I29" totalsRowShown="0">
  <autoFilter ref="A1:I29" xr:uid="{BBED5154-7CE2-4884-BC09-162922868756}"/>
  <tableColumns count="9">
    <tableColumn id="1" xr3:uid="{717BF0DB-61DF-4528-AF3F-99D0B25E42A2}" name="Document Date" dataDxfId="1"/>
    <tableColumn id="2" xr3:uid="{DE04CA47-6B43-4797-B829-5CE3134BD97B}" name="Supplier"/>
    <tableColumn id="3" xr3:uid="{EE7DFE3C-2FF3-46F2-9D5E-E35CFA9DFEA8}" name="Reference"/>
    <tableColumn id="4" xr3:uid="{DD532C2C-2ACD-487A-BF13-CF8706B3EB35}" name="Description"/>
    <tableColumn id="5" xr3:uid="{7947C6E1-F1C8-4679-A074-6B2C9C8F9376}" name="Tax Inclusive Amount"/>
    <tableColumn id="6" xr3:uid="{A784CAFA-D613-4AD8-B8AD-0A99691C6979}" name="Tax Code"/>
    <tableColumn id="7" xr3:uid="{02C5788A-59F5-4AAC-899D-1EA9EA7CE8B0}" name="Bank Code"/>
    <tableColumn id="8" xr3:uid="{D797850F-BFE2-409C-B658-0611E3149B44}" name="Account Code"/>
    <tableColumn id="9" xr3:uid="{3E05D710-AE88-4B31-9933-D70D9AE7C97D}" name="Payment Date"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A607E2A-E31F-4B14-B9F8-B24596083C41}" name="Table1__2" displayName="Table1__2" ref="A1:I14" tableType="queryTable" totalsRowShown="0">
  <autoFilter ref="A1:I14" xr:uid="{EA607E2A-E31F-4B14-B9F8-B24596083C41}"/>
  <tableColumns count="9">
    <tableColumn id="1" xr3:uid="{B6F50484-B888-49FB-935E-7F80E07C0117}" uniqueName="1" name="Document Date" queryTableFieldId="1" dataDxfId="9"/>
    <tableColumn id="2" xr3:uid="{C1D71273-7082-4AF8-84C3-F0500EFA8863}" uniqueName="2" name="Supplier" queryTableFieldId="2" dataDxfId="8"/>
    <tableColumn id="3" xr3:uid="{2D9BBDB9-5B69-40DA-8428-9040BAC34796}" uniqueName="3" name="Reference" queryTableFieldId="3" dataDxfId="7"/>
    <tableColumn id="4" xr3:uid="{EFD95FED-DD5B-4252-B6C8-4BC05DCB0ABE}" uniqueName="4" name="Description" queryTableFieldId="4" dataDxfId="6"/>
    <tableColumn id="5" xr3:uid="{536568AA-B0A2-42CC-BFFB-F16A618F4754}" uniqueName="5" name="Tax Inclusive Amount" queryTableFieldId="5"/>
    <tableColumn id="6" xr3:uid="{51CC47BE-8E37-4F5C-AC51-F8107B04EEB5}" uniqueName="6" name="Tax Code" queryTableFieldId="6" dataDxfId="5"/>
    <tableColumn id="7" xr3:uid="{3B5BEE85-59E1-44E6-8742-63482F00F346}" uniqueName="7" name="Bank Code" queryTableFieldId="7" dataDxfId="4"/>
    <tableColumn id="8" xr3:uid="{61F725D6-037C-42EE-BE66-744B528FBF3F}" uniqueName="8" name="Account Code" queryTableFieldId="8" dataDxfId="3"/>
    <tableColumn id="9" xr3:uid="{3C92CC08-AE1D-49FA-8B41-BB4B8D6DF80A}" uniqueName="9" name="Payment Date" queryTableFieldId="9" dataDxfId="2"/>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B13E4-D8C7-4A43-8A41-ACE2FB5458F3}">
  <dimension ref="A1:I29"/>
  <sheetViews>
    <sheetView workbookViewId="0">
      <selection activeCell="D21" sqref="D21"/>
    </sheetView>
  </sheetViews>
  <sheetFormatPr defaultRowHeight="14.4" x14ac:dyDescent="0.3"/>
  <cols>
    <col min="1" max="1" width="16" customWidth="1"/>
    <col min="2" max="2" width="9.77734375" customWidth="1"/>
    <col min="3" max="3" width="14" bestFit="1" customWidth="1"/>
    <col min="4" max="4" width="12.33203125" customWidth="1"/>
    <col min="5" max="5" width="20.88671875" customWidth="1"/>
    <col min="6" max="6" width="11.88671875" customWidth="1"/>
    <col min="7" max="7" width="14.6640625" customWidth="1"/>
    <col min="8" max="8" width="14.77734375" customWidth="1"/>
    <col min="9" max="9" width="15.109375" bestFit="1" customWidth="1"/>
  </cols>
  <sheetData>
    <row r="1" spans="1:9" x14ac:dyDescent="0.3">
      <c r="A1" t="s">
        <v>0</v>
      </c>
      <c r="B1" t="s">
        <v>1</v>
      </c>
      <c r="C1" t="s">
        <v>2</v>
      </c>
      <c r="D1" t="s">
        <v>3</v>
      </c>
      <c r="E1" t="s">
        <v>4</v>
      </c>
      <c r="F1" t="s">
        <v>68</v>
      </c>
      <c r="G1" t="s">
        <v>72</v>
      </c>
      <c r="H1" t="s">
        <v>5</v>
      </c>
      <c r="I1" t="s">
        <v>6</v>
      </c>
    </row>
    <row r="2" spans="1:9" x14ac:dyDescent="0.3">
      <c r="A2" s="1">
        <v>40588</v>
      </c>
      <c r="B2" t="s">
        <v>7</v>
      </c>
      <c r="C2" t="s">
        <v>8</v>
      </c>
      <c r="D2" t="s">
        <v>9</v>
      </c>
      <c r="E2">
        <v>5100</v>
      </c>
      <c r="F2" t="s">
        <v>10</v>
      </c>
      <c r="G2" t="s">
        <v>11</v>
      </c>
      <c r="H2" t="s">
        <v>12</v>
      </c>
      <c r="I2" s="1">
        <v>40604</v>
      </c>
    </row>
    <row r="3" spans="1:9" x14ac:dyDescent="0.3">
      <c r="A3" s="1">
        <v>40603</v>
      </c>
      <c r="B3" t="s">
        <v>13</v>
      </c>
      <c r="C3" t="s">
        <v>14</v>
      </c>
      <c r="D3" t="s">
        <v>15</v>
      </c>
      <c r="E3">
        <v>179</v>
      </c>
      <c r="F3" t="s">
        <v>10</v>
      </c>
      <c r="G3" t="s">
        <v>11</v>
      </c>
      <c r="H3" t="s">
        <v>16</v>
      </c>
      <c r="I3" s="1">
        <v>40633</v>
      </c>
    </row>
    <row r="4" spans="1:9" x14ac:dyDescent="0.3">
      <c r="A4" s="1">
        <v>40604</v>
      </c>
      <c r="B4" t="s">
        <v>17</v>
      </c>
      <c r="C4" t="s">
        <v>18</v>
      </c>
      <c r="D4" t="s">
        <v>19</v>
      </c>
      <c r="E4">
        <v>478</v>
      </c>
      <c r="F4" t="s">
        <v>10</v>
      </c>
      <c r="G4" t="s">
        <v>11</v>
      </c>
      <c r="H4" t="s">
        <v>20</v>
      </c>
      <c r="I4" s="1">
        <v>40634</v>
      </c>
    </row>
    <row r="5" spans="1:9" x14ac:dyDescent="0.3">
      <c r="A5" s="1">
        <v>40604</v>
      </c>
      <c r="B5" t="s">
        <v>21</v>
      </c>
      <c r="C5" t="s">
        <v>22</v>
      </c>
      <c r="D5" t="s">
        <v>23</v>
      </c>
      <c r="E5">
        <v>340</v>
      </c>
      <c r="F5" t="s">
        <v>10</v>
      </c>
      <c r="G5" t="s">
        <v>11</v>
      </c>
      <c r="H5" t="s">
        <v>24</v>
      </c>
      <c r="I5" s="1">
        <v>40607</v>
      </c>
    </row>
    <row r="6" spans="1:9" x14ac:dyDescent="0.3">
      <c r="A6" s="1">
        <v>40617</v>
      </c>
      <c r="B6" t="s">
        <v>25</v>
      </c>
      <c r="C6" t="s">
        <v>26</v>
      </c>
      <c r="D6" t="s">
        <v>27</v>
      </c>
      <c r="E6">
        <v>50</v>
      </c>
      <c r="F6" t="s">
        <v>10</v>
      </c>
      <c r="G6" t="s">
        <v>11</v>
      </c>
      <c r="H6" t="s">
        <v>28</v>
      </c>
      <c r="I6" s="1">
        <v>40617</v>
      </c>
    </row>
    <row r="7" spans="1:9" x14ac:dyDescent="0.3">
      <c r="A7" s="1">
        <v>40617</v>
      </c>
      <c r="B7" t="s">
        <v>25</v>
      </c>
      <c r="C7" t="s">
        <v>26</v>
      </c>
      <c r="D7" t="s">
        <v>27</v>
      </c>
      <c r="E7">
        <v>35</v>
      </c>
      <c r="F7" t="s">
        <v>10</v>
      </c>
      <c r="G7" t="s">
        <v>29</v>
      </c>
      <c r="H7" t="s">
        <v>28</v>
      </c>
      <c r="I7" s="1">
        <v>40617</v>
      </c>
    </row>
    <row r="8" spans="1:9" x14ac:dyDescent="0.3">
      <c r="A8" s="1">
        <v>40617</v>
      </c>
      <c r="B8" t="s">
        <v>30</v>
      </c>
      <c r="C8" t="s">
        <v>31</v>
      </c>
      <c r="D8" t="s">
        <v>32</v>
      </c>
      <c r="E8">
        <v>1000</v>
      </c>
      <c r="F8" t="s">
        <v>10</v>
      </c>
      <c r="G8" t="s">
        <v>11</v>
      </c>
      <c r="H8" t="s">
        <v>33</v>
      </c>
      <c r="I8" s="1">
        <v>40635</v>
      </c>
    </row>
    <row r="9" spans="1:9" x14ac:dyDescent="0.3">
      <c r="A9" s="1">
        <v>40617</v>
      </c>
      <c r="B9" t="s">
        <v>34</v>
      </c>
      <c r="C9" t="s">
        <v>35</v>
      </c>
      <c r="D9" t="s">
        <v>36</v>
      </c>
      <c r="E9">
        <v>90</v>
      </c>
      <c r="F9" t="s">
        <v>10</v>
      </c>
      <c r="G9" t="s">
        <v>37</v>
      </c>
      <c r="H9" t="s">
        <v>38</v>
      </c>
      <c r="I9" s="1">
        <v>40617</v>
      </c>
    </row>
    <row r="10" spans="1:9" x14ac:dyDescent="0.3">
      <c r="A10" s="1">
        <v>40620</v>
      </c>
      <c r="B10" t="s">
        <v>39</v>
      </c>
      <c r="C10" t="s">
        <v>40</v>
      </c>
      <c r="D10" t="s">
        <v>41</v>
      </c>
      <c r="E10">
        <v>200</v>
      </c>
      <c r="F10" t="s">
        <v>10</v>
      </c>
      <c r="G10" t="s">
        <v>11</v>
      </c>
      <c r="H10" t="s">
        <v>42</v>
      </c>
      <c r="I10" s="1">
        <v>40620</v>
      </c>
    </row>
    <row r="11" spans="1:9" x14ac:dyDescent="0.3">
      <c r="A11" s="1">
        <v>40622</v>
      </c>
      <c r="B11" t="s">
        <v>43</v>
      </c>
      <c r="C11" t="s">
        <v>44</v>
      </c>
      <c r="D11" t="s">
        <v>45</v>
      </c>
      <c r="E11">
        <v>-15000</v>
      </c>
      <c r="F11" t="s">
        <v>46</v>
      </c>
      <c r="G11" t="s">
        <v>29</v>
      </c>
      <c r="H11" t="s">
        <v>47</v>
      </c>
      <c r="I11" s="1">
        <v>40622</v>
      </c>
    </row>
    <row r="12" spans="1:9" x14ac:dyDescent="0.3">
      <c r="A12" s="1">
        <v>40622</v>
      </c>
      <c r="B12" t="s">
        <v>43</v>
      </c>
      <c r="C12" t="s">
        <v>44</v>
      </c>
      <c r="D12" t="s">
        <v>45</v>
      </c>
      <c r="E12">
        <v>15000</v>
      </c>
      <c r="F12" t="s">
        <v>46</v>
      </c>
      <c r="G12" t="s">
        <v>11</v>
      </c>
      <c r="H12" t="s">
        <v>47</v>
      </c>
      <c r="I12" s="1">
        <v>40622</v>
      </c>
    </row>
    <row r="13" spans="1:9" x14ac:dyDescent="0.3">
      <c r="A13" s="1">
        <v>40628</v>
      </c>
      <c r="B13" t="s">
        <v>43</v>
      </c>
      <c r="C13" t="s">
        <v>48</v>
      </c>
      <c r="D13" t="s">
        <v>49</v>
      </c>
      <c r="E13">
        <v>13000</v>
      </c>
      <c r="F13" t="s">
        <v>46</v>
      </c>
      <c r="G13" t="s">
        <v>29</v>
      </c>
      <c r="H13" t="s">
        <v>50</v>
      </c>
      <c r="I13" s="1">
        <v>40628</v>
      </c>
    </row>
    <row r="14" spans="1:9" x14ac:dyDescent="0.3">
      <c r="A14" s="1">
        <v>40628</v>
      </c>
      <c r="B14" t="s">
        <v>51</v>
      </c>
      <c r="C14" t="s">
        <v>22</v>
      </c>
      <c r="D14" t="s">
        <v>52</v>
      </c>
      <c r="E14">
        <v>220</v>
      </c>
      <c r="F14" t="s">
        <v>46</v>
      </c>
      <c r="G14" t="s">
        <v>11</v>
      </c>
      <c r="H14" t="s">
        <v>53</v>
      </c>
      <c r="I14" s="1">
        <v>40628</v>
      </c>
    </row>
    <row r="15" spans="1:9" x14ac:dyDescent="0.3">
      <c r="A15" s="1">
        <v>40628</v>
      </c>
      <c r="B15" t="s">
        <v>51</v>
      </c>
      <c r="C15" t="s">
        <v>22</v>
      </c>
      <c r="D15" t="s">
        <v>54</v>
      </c>
      <c r="E15">
        <v>100</v>
      </c>
      <c r="F15" t="s">
        <v>46</v>
      </c>
      <c r="G15" t="s">
        <v>11</v>
      </c>
      <c r="H15" t="s">
        <v>55</v>
      </c>
      <c r="I15" s="1">
        <v>40628</v>
      </c>
    </row>
    <row r="16" spans="1:9" x14ac:dyDescent="0.3">
      <c r="A16" s="1">
        <v>40628</v>
      </c>
      <c r="B16" t="s">
        <v>56</v>
      </c>
      <c r="C16" t="s">
        <v>22</v>
      </c>
      <c r="D16" t="s">
        <v>57</v>
      </c>
      <c r="E16">
        <v>6400</v>
      </c>
      <c r="F16" t="s">
        <v>10</v>
      </c>
      <c r="G16" t="s">
        <v>11</v>
      </c>
      <c r="H16" t="s">
        <v>58</v>
      </c>
      <c r="I16" s="1">
        <v>40628</v>
      </c>
    </row>
    <row r="17" spans="1:9" x14ac:dyDescent="0.3">
      <c r="A17" s="1">
        <v>40633</v>
      </c>
      <c r="B17" t="s">
        <v>43</v>
      </c>
      <c r="C17" t="s">
        <v>26</v>
      </c>
      <c r="D17" t="s">
        <v>59</v>
      </c>
      <c r="E17">
        <v>100</v>
      </c>
      <c r="F17" t="s">
        <v>46</v>
      </c>
      <c r="G17" t="s">
        <v>11</v>
      </c>
      <c r="H17" t="s">
        <v>47</v>
      </c>
      <c r="I17" s="1">
        <v>40633</v>
      </c>
    </row>
    <row r="18" spans="1:9" x14ac:dyDescent="0.3">
      <c r="A18" s="1">
        <v>40633</v>
      </c>
      <c r="B18" t="s">
        <v>43</v>
      </c>
      <c r="C18" t="s">
        <v>26</v>
      </c>
      <c r="D18" t="s">
        <v>59</v>
      </c>
      <c r="E18">
        <v>-100</v>
      </c>
      <c r="F18" t="s">
        <v>46</v>
      </c>
      <c r="G18" t="s">
        <v>37</v>
      </c>
      <c r="H18" t="s">
        <v>47</v>
      </c>
      <c r="I18" s="1">
        <v>40633</v>
      </c>
    </row>
    <row r="19" spans="1:9" x14ac:dyDescent="0.3">
      <c r="A19" s="1">
        <v>40634</v>
      </c>
      <c r="B19" t="s">
        <v>13</v>
      </c>
      <c r="C19" t="s">
        <v>60</v>
      </c>
      <c r="D19" t="s">
        <v>15</v>
      </c>
      <c r="E19">
        <v>179</v>
      </c>
      <c r="F19" t="s">
        <v>10</v>
      </c>
      <c r="G19" t="s">
        <v>11</v>
      </c>
      <c r="H19" t="s">
        <v>16</v>
      </c>
      <c r="I19" s="1">
        <v>40664</v>
      </c>
    </row>
    <row r="20" spans="1:9" x14ac:dyDescent="0.3">
      <c r="A20" s="1">
        <v>40638</v>
      </c>
      <c r="B20" t="s">
        <v>21</v>
      </c>
      <c r="C20" t="s">
        <v>22</v>
      </c>
      <c r="D20" t="s">
        <v>23</v>
      </c>
      <c r="E20">
        <v>340</v>
      </c>
      <c r="F20" t="s">
        <v>10</v>
      </c>
      <c r="G20" t="s">
        <v>11</v>
      </c>
      <c r="H20" t="s">
        <v>24</v>
      </c>
      <c r="I20" s="1">
        <v>40638</v>
      </c>
    </row>
    <row r="21" spans="1:9" x14ac:dyDescent="0.3">
      <c r="A21" s="1">
        <v>40645</v>
      </c>
      <c r="B21" t="s">
        <v>34</v>
      </c>
      <c r="C21" t="s">
        <v>35</v>
      </c>
      <c r="D21" t="s">
        <v>36</v>
      </c>
      <c r="E21">
        <v>87</v>
      </c>
      <c r="F21" t="s">
        <v>10</v>
      </c>
      <c r="G21" t="s">
        <v>37</v>
      </c>
      <c r="H21" t="s">
        <v>38</v>
      </c>
      <c r="I21" s="1">
        <v>40645</v>
      </c>
    </row>
    <row r="22" spans="1:9" x14ac:dyDescent="0.3">
      <c r="A22" s="1">
        <v>40648</v>
      </c>
      <c r="B22" t="s">
        <v>25</v>
      </c>
      <c r="C22" t="s">
        <v>26</v>
      </c>
      <c r="D22" t="s">
        <v>27</v>
      </c>
      <c r="E22">
        <v>80</v>
      </c>
      <c r="F22" t="s">
        <v>10</v>
      </c>
      <c r="G22" t="s">
        <v>11</v>
      </c>
      <c r="H22" t="s">
        <v>28</v>
      </c>
      <c r="I22" s="1">
        <v>40648</v>
      </c>
    </row>
    <row r="23" spans="1:9" x14ac:dyDescent="0.3">
      <c r="A23" s="1">
        <v>40648</v>
      </c>
      <c r="B23" t="s">
        <v>25</v>
      </c>
      <c r="C23" t="s">
        <v>26</v>
      </c>
      <c r="D23" t="s">
        <v>27</v>
      </c>
      <c r="E23">
        <v>35</v>
      </c>
      <c r="F23" t="s">
        <v>10</v>
      </c>
      <c r="G23" t="s">
        <v>29</v>
      </c>
      <c r="H23" t="s">
        <v>28</v>
      </c>
      <c r="I23" s="1">
        <v>40648</v>
      </c>
    </row>
    <row r="24" spans="1:9" x14ac:dyDescent="0.3">
      <c r="A24" s="1">
        <v>40648</v>
      </c>
      <c r="B24" t="s">
        <v>30</v>
      </c>
      <c r="C24" t="s">
        <v>31</v>
      </c>
      <c r="D24" t="s">
        <v>32</v>
      </c>
      <c r="E24">
        <v>1000</v>
      </c>
      <c r="F24" t="s">
        <v>10</v>
      </c>
      <c r="G24" t="s">
        <v>11</v>
      </c>
      <c r="H24" t="s">
        <v>33</v>
      </c>
      <c r="I24" s="1">
        <v>40666</v>
      </c>
    </row>
    <row r="25" spans="1:9" x14ac:dyDescent="0.3">
      <c r="A25" s="1">
        <v>40653</v>
      </c>
      <c r="B25" t="s">
        <v>43</v>
      </c>
      <c r="C25" t="s">
        <v>44</v>
      </c>
      <c r="D25" t="s">
        <v>45</v>
      </c>
      <c r="E25">
        <v>-20000</v>
      </c>
      <c r="F25" t="s">
        <v>46</v>
      </c>
      <c r="G25" t="s">
        <v>29</v>
      </c>
      <c r="H25" t="s">
        <v>47</v>
      </c>
      <c r="I25" s="1">
        <v>40653</v>
      </c>
    </row>
    <row r="26" spans="1:9" x14ac:dyDescent="0.3">
      <c r="A26" s="1">
        <v>40653</v>
      </c>
      <c r="B26" t="s">
        <v>43</v>
      </c>
      <c r="C26" t="s">
        <v>44</v>
      </c>
      <c r="D26" t="s">
        <v>45</v>
      </c>
      <c r="E26">
        <v>20000</v>
      </c>
      <c r="F26" t="s">
        <v>46</v>
      </c>
      <c r="G26" t="s">
        <v>11</v>
      </c>
      <c r="H26" t="s">
        <v>47</v>
      </c>
      <c r="I26" s="1">
        <v>40653</v>
      </c>
    </row>
    <row r="27" spans="1:9" x14ac:dyDescent="0.3">
      <c r="A27" s="1">
        <v>40658</v>
      </c>
      <c r="B27" t="s">
        <v>61</v>
      </c>
      <c r="C27" t="s">
        <v>62</v>
      </c>
      <c r="D27" t="s">
        <v>63</v>
      </c>
      <c r="E27">
        <v>1300</v>
      </c>
      <c r="F27" t="s">
        <v>10</v>
      </c>
      <c r="G27" t="s">
        <v>11</v>
      </c>
      <c r="H27" t="s">
        <v>64</v>
      </c>
      <c r="I27" s="1">
        <v>40653</v>
      </c>
    </row>
    <row r="28" spans="1:9" x14ac:dyDescent="0.3">
      <c r="A28" s="1">
        <v>40659</v>
      </c>
      <c r="B28" t="s">
        <v>43</v>
      </c>
      <c r="C28" t="s">
        <v>48</v>
      </c>
      <c r="D28" t="s">
        <v>49</v>
      </c>
      <c r="E28">
        <v>20000</v>
      </c>
      <c r="F28" t="s">
        <v>46</v>
      </c>
      <c r="G28" t="s">
        <v>29</v>
      </c>
      <c r="H28" t="s">
        <v>50</v>
      </c>
      <c r="I28" s="1">
        <v>40659</v>
      </c>
    </row>
    <row r="29" spans="1:9" x14ac:dyDescent="0.3">
      <c r="A29" s="1">
        <v>40659</v>
      </c>
      <c r="B29" t="s">
        <v>65</v>
      </c>
      <c r="C29" t="s">
        <v>31</v>
      </c>
      <c r="D29" t="s">
        <v>66</v>
      </c>
      <c r="E29">
        <v>3000</v>
      </c>
      <c r="F29" t="s">
        <v>10</v>
      </c>
      <c r="G29" t="s">
        <v>11</v>
      </c>
      <c r="H29" t="s">
        <v>67</v>
      </c>
      <c r="I29" s="1">
        <v>40689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AADCB-E6AB-4B1D-85D4-4BCD70517E37}">
  <dimension ref="B9:C15"/>
  <sheetViews>
    <sheetView workbookViewId="0">
      <selection activeCell="B4" sqref="B4"/>
    </sheetView>
  </sheetViews>
  <sheetFormatPr defaultRowHeight="14.4" x14ac:dyDescent="0.3"/>
  <cols>
    <col min="1" max="1" width="14.77734375" bestFit="1" customWidth="1"/>
    <col min="2" max="2" width="16.6640625" bestFit="1" customWidth="1"/>
    <col min="3" max="3" width="25.88671875" bestFit="1" customWidth="1"/>
  </cols>
  <sheetData>
    <row r="9" spans="2:3" x14ac:dyDescent="0.3">
      <c r="B9" s="2" t="s">
        <v>5</v>
      </c>
      <c r="C9" t="s">
        <v>73</v>
      </c>
    </row>
    <row r="11" spans="2:3" x14ac:dyDescent="0.3">
      <c r="B11" s="2" t="s">
        <v>69</v>
      </c>
      <c r="C11" t="s">
        <v>71</v>
      </c>
    </row>
    <row r="12" spans="2:3" x14ac:dyDescent="0.3">
      <c r="B12" s="3" t="s">
        <v>43</v>
      </c>
      <c r="C12" s="4">
        <v>33000</v>
      </c>
    </row>
    <row r="13" spans="2:3" x14ac:dyDescent="0.3">
      <c r="B13" s="3" t="s">
        <v>34</v>
      </c>
      <c r="C13" s="4">
        <v>177</v>
      </c>
    </row>
    <row r="14" spans="2:3" x14ac:dyDescent="0.3">
      <c r="B14" s="3" t="s">
        <v>13</v>
      </c>
      <c r="C14" s="4">
        <v>358</v>
      </c>
    </row>
    <row r="15" spans="2:3" x14ac:dyDescent="0.3">
      <c r="B15" s="3" t="s">
        <v>70</v>
      </c>
      <c r="C15" s="4">
        <v>33535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21ABE-2999-43E3-886C-E6A9B44DAA80}">
  <dimension ref="A1:I14"/>
  <sheetViews>
    <sheetView tabSelected="1" workbookViewId="0">
      <selection activeCell="D19" sqref="D19"/>
    </sheetView>
  </sheetViews>
  <sheetFormatPr defaultRowHeight="14.4" x14ac:dyDescent="0.3"/>
  <cols>
    <col min="1" max="1" width="16.44140625" bestFit="1" customWidth="1"/>
    <col min="2" max="2" width="16.6640625" bestFit="1" customWidth="1"/>
    <col min="3" max="3" width="14" bestFit="1" customWidth="1"/>
    <col min="4" max="4" width="21.33203125" bestFit="1" customWidth="1"/>
    <col min="5" max="5" width="21.44140625" bestFit="1" customWidth="1"/>
    <col min="6" max="6" width="10.88671875" bestFit="1" customWidth="1"/>
    <col min="7" max="7" width="12.21875" bestFit="1" customWidth="1"/>
    <col min="8" max="8" width="15" bestFit="1" customWidth="1"/>
    <col min="9" max="9" width="15.109375" bestFit="1" customWidth="1"/>
  </cols>
  <sheetData>
    <row r="1" spans="1:9" x14ac:dyDescent="0.3">
      <c r="A1" t="s">
        <v>0</v>
      </c>
      <c r="B1" t="s">
        <v>1</v>
      </c>
      <c r="C1" t="s">
        <v>2</v>
      </c>
      <c r="D1" t="s">
        <v>3</v>
      </c>
      <c r="E1" t="s">
        <v>4</v>
      </c>
      <c r="F1" t="s">
        <v>68</v>
      </c>
      <c r="G1" t="s">
        <v>72</v>
      </c>
      <c r="H1" t="s">
        <v>5</v>
      </c>
      <c r="I1" t="s">
        <v>6</v>
      </c>
    </row>
    <row r="2" spans="1:9" x14ac:dyDescent="0.3">
      <c r="A2" s="5">
        <v>40588</v>
      </c>
      <c r="B2" s="4" t="s">
        <v>7</v>
      </c>
      <c r="C2" s="4" t="s">
        <v>8</v>
      </c>
      <c r="D2" s="4" t="s">
        <v>9</v>
      </c>
      <c r="E2">
        <v>5100</v>
      </c>
      <c r="F2" s="4" t="s">
        <v>10</v>
      </c>
      <c r="G2" s="4" t="s">
        <v>11</v>
      </c>
      <c r="H2" s="4" t="s">
        <v>12</v>
      </c>
      <c r="I2" s="5">
        <v>40604</v>
      </c>
    </row>
    <row r="3" spans="1:9" x14ac:dyDescent="0.3">
      <c r="A3" s="5">
        <v>40603</v>
      </c>
      <c r="B3" s="4" t="s">
        <v>13</v>
      </c>
      <c r="C3" s="4" t="s">
        <v>14</v>
      </c>
      <c r="D3" s="4" t="s">
        <v>15</v>
      </c>
      <c r="E3">
        <v>179</v>
      </c>
      <c r="F3" s="4" t="s">
        <v>10</v>
      </c>
      <c r="G3" s="4" t="s">
        <v>11</v>
      </c>
      <c r="H3" s="4" t="s">
        <v>16</v>
      </c>
      <c r="I3" s="5">
        <v>40633</v>
      </c>
    </row>
    <row r="4" spans="1:9" x14ac:dyDescent="0.3">
      <c r="A4" s="5">
        <v>40604</v>
      </c>
      <c r="B4" s="4" t="s">
        <v>17</v>
      </c>
      <c r="C4" s="4" t="s">
        <v>18</v>
      </c>
      <c r="D4" s="4" t="s">
        <v>19</v>
      </c>
      <c r="E4">
        <v>478</v>
      </c>
      <c r="F4" s="4" t="s">
        <v>10</v>
      </c>
      <c r="G4" s="4" t="s">
        <v>11</v>
      </c>
      <c r="H4" s="4" t="s">
        <v>20</v>
      </c>
      <c r="I4" s="5">
        <v>40634</v>
      </c>
    </row>
    <row r="5" spans="1:9" x14ac:dyDescent="0.3">
      <c r="A5" s="5">
        <v>40604</v>
      </c>
      <c r="B5" s="4" t="s">
        <v>21</v>
      </c>
      <c r="C5" s="4" t="s">
        <v>22</v>
      </c>
      <c r="D5" s="4" t="s">
        <v>23</v>
      </c>
      <c r="E5">
        <v>340</v>
      </c>
      <c r="F5" s="4" t="s">
        <v>10</v>
      </c>
      <c r="G5" s="4" t="s">
        <v>11</v>
      </c>
      <c r="H5" s="4" t="s">
        <v>24</v>
      </c>
      <c r="I5" s="5">
        <v>40607</v>
      </c>
    </row>
    <row r="6" spans="1:9" x14ac:dyDescent="0.3">
      <c r="A6" s="5">
        <v>40617</v>
      </c>
      <c r="B6" s="4" t="s">
        <v>25</v>
      </c>
      <c r="C6" s="4" t="s">
        <v>26</v>
      </c>
      <c r="D6" s="4" t="s">
        <v>27</v>
      </c>
      <c r="E6">
        <v>50</v>
      </c>
      <c r="F6" s="4" t="s">
        <v>10</v>
      </c>
      <c r="G6" s="4" t="s">
        <v>11</v>
      </c>
      <c r="H6" s="4" t="s">
        <v>28</v>
      </c>
      <c r="I6" s="5">
        <v>40617</v>
      </c>
    </row>
    <row r="7" spans="1:9" x14ac:dyDescent="0.3">
      <c r="A7" s="5">
        <v>40617</v>
      </c>
      <c r="B7" s="4" t="s">
        <v>30</v>
      </c>
      <c r="C7" s="4" t="s">
        <v>31</v>
      </c>
      <c r="D7" s="4" t="s">
        <v>32</v>
      </c>
      <c r="E7">
        <v>1000</v>
      </c>
      <c r="F7" s="4" t="s">
        <v>10</v>
      </c>
      <c r="G7" s="4" t="s">
        <v>11</v>
      </c>
      <c r="H7" s="4" t="s">
        <v>33</v>
      </c>
      <c r="I7" s="5">
        <v>40635</v>
      </c>
    </row>
    <row r="8" spans="1:9" x14ac:dyDescent="0.3">
      <c r="A8" s="5">
        <v>40617</v>
      </c>
      <c r="B8" s="4" t="s">
        <v>34</v>
      </c>
      <c r="C8" s="4" t="s">
        <v>35</v>
      </c>
      <c r="D8" s="4" t="s">
        <v>36</v>
      </c>
      <c r="E8">
        <v>90</v>
      </c>
      <c r="F8" s="4" t="s">
        <v>10</v>
      </c>
      <c r="G8" s="4" t="s">
        <v>37</v>
      </c>
      <c r="H8" s="4" t="s">
        <v>38</v>
      </c>
      <c r="I8" s="5">
        <v>40617</v>
      </c>
    </row>
    <row r="9" spans="1:9" x14ac:dyDescent="0.3">
      <c r="A9" s="5">
        <v>40620</v>
      </c>
      <c r="B9" s="4" t="s">
        <v>39</v>
      </c>
      <c r="C9" s="4" t="s">
        <v>40</v>
      </c>
      <c r="D9" s="4" t="s">
        <v>41</v>
      </c>
      <c r="E9">
        <v>200</v>
      </c>
      <c r="F9" s="4" t="s">
        <v>10</v>
      </c>
      <c r="G9" s="4" t="s">
        <v>11</v>
      </c>
      <c r="H9" s="4" t="s">
        <v>42</v>
      </c>
      <c r="I9" s="5">
        <v>40620</v>
      </c>
    </row>
    <row r="10" spans="1:9" x14ac:dyDescent="0.3">
      <c r="A10" s="5">
        <v>40622</v>
      </c>
      <c r="B10" s="4" t="s">
        <v>43</v>
      </c>
      <c r="C10" s="4" t="s">
        <v>44</v>
      </c>
      <c r="D10" s="4" t="s">
        <v>45</v>
      </c>
      <c r="E10">
        <v>-15000</v>
      </c>
      <c r="F10" s="4" t="s">
        <v>46</v>
      </c>
      <c r="G10" s="4" t="s">
        <v>29</v>
      </c>
      <c r="H10" s="4" t="s">
        <v>47</v>
      </c>
      <c r="I10" s="5">
        <v>40622</v>
      </c>
    </row>
    <row r="11" spans="1:9" x14ac:dyDescent="0.3">
      <c r="A11" s="5">
        <v>40628</v>
      </c>
      <c r="B11" s="4" t="s">
        <v>51</v>
      </c>
      <c r="C11" s="4" t="s">
        <v>22</v>
      </c>
      <c r="D11" s="4" t="s">
        <v>52</v>
      </c>
      <c r="E11">
        <v>220</v>
      </c>
      <c r="F11" s="4" t="s">
        <v>46</v>
      </c>
      <c r="G11" s="4" t="s">
        <v>11</v>
      </c>
      <c r="H11" s="4" t="s">
        <v>53</v>
      </c>
      <c r="I11" s="5">
        <v>40628</v>
      </c>
    </row>
    <row r="12" spans="1:9" x14ac:dyDescent="0.3">
      <c r="A12" s="5">
        <v>40628</v>
      </c>
      <c r="B12" s="4" t="s">
        <v>56</v>
      </c>
      <c r="C12" s="4" t="s">
        <v>22</v>
      </c>
      <c r="D12" s="4" t="s">
        <v>57</v>
      </c>
      <c r="E12">
        <v>6400</v>
      </c>
      <c r="F12" s="4" t="s">
        <v>10</v>
      </c>
      <c r="G12" s="4" t="s">
        <v>11</v>
      </c>
      <c r="H12" s="4" t="s">
        <v>58</v>
      </c>
      <c r="I12" s="5">
        <v>40628</v>
      </c>
    </row>
    <row r="13" spans="1:9" x14ac:dyDescent="0.3">
      <c r="A13" s="5">
        <v>40658</v>
      </c>
      <c r="B13" s="4" t="s">
        <v>61</v>
      </c>
      <c r="C13" s="4" t="s">
        <v>62</v>
      </c>
      <c r="D13" s="4" t="s">
        <v>63</v>
      </c>
      <c r="E13">
        <v>1300</v>
      </c>
      <c r="F13" s="4" t="s">
        <v>10</v>
      </c>
      <c r="G13" s="4" t="s">
        <v>11</v>
      </c>
      <c r="H13" s="4" t="s">
        <v>64</v>
      </c>
      <c r="I13" s="5">
        <v>40653</v>
      </c>
    </row>
    <row r="14" spans="1:9" x14ac:dyDescent="0.3">
      <c r="A14" s="5">
        <v>40659</v>
      </c>
      <c r="B14" s="4" t="s">
        <v>65</v>
      </c>
      <c r="C14" s="4" t="s">
        <v>31</v>
      </c>
      <c r="D14" s="4" t="s">
        <v>66</v>
      </c>
      <c r="E14">
        <v>3000</v>
      </c>
      <c r="F14" s="4" t="s">
        <v>10</v>
      </c>
      <c r="G14" s="4" t="s">
        <v>11</v>
      </c>
      <c r="H14" s="4" t="s">
        <v>67</v>
      </c>
      <c r="I14" s="5">
        <v>40689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6402918-3165-44B2-84E4-E487DE82ADF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Table1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Devendrasinh Vaghela</dc:creator>
  <cp:lastModifiedBy>DEV MEVADA</cp:lastModifiedBy>
  <dcterms:created xsi:type="dcterms:W3CDTF">2026-03-10T09:45:58Z</dcterms:created>
  <dcterms:modified xsi:type="dcterms:W3CDTF">2026-04-14T06:06:44Z</dcterms:modified>
</cp:coreProperties>
</file>